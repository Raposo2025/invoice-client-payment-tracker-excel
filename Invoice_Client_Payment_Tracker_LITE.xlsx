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Invoice" sheetId="6" state="visible" r:id="rId6"/>
  </sheets>
  <definedNames>
    <definedName name="_xlnm.Print_Area" localSheetId="3">'Invoices'!$A$1:$M$40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2" fillId="3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Invoice + Client &amp; Payment Tracker (Lite)</t>
        </is>
      </c>
    </row>
    <row r="3">
      <c r="A3" t="inlineStr">
        <is>
          <t>1. 'Settings': your business name, address, tax rate and payment terms (yellow cells).</t>
        </is>
      </c>
    </row>
    <row r="4">
      <c r="A4" t="inlineStr">
        <is>
          <t>2. 'Clients': one row per client with a unique Client ID.</t>
        </is>
      </c>
    </row>
    <row r="5">
      <c r="A5" t="inlineStr">
        <is>
          <t>3. 'Invoices': one row per invoice line summary - number, client ID (dropdown), dates, subtotal. Tax, total, paid, balance, status compute automatically.</t>
        </is>
      </c>
    </row>
    <row r="6">
      <c r="A6" t="inlineStr">
        <is>
          <t>4. 'Payments': log each payment received against an invoice number. Partial payments supported.</t>
        </is>
      </c>
    </row>
    <row r="7">
      <c r="A7" t="inlineStr">
        <is>
          <t>5. 'Invoice': type an invoice number in yellow cell to generate a printable invoice.</t>
        </is>
      </c>
    </row>
    <row r="8">
      <c r="A8" t="inlineStr">
        <is>
          <t>Lite: up to 25 invoices, no Summary/charts, no aging. Full version adds summary dashboard, aging buckets, charts, 500 rows.</t>
        </is>
      </c>
    </row>
    <row r="9">
      <c r="A9" t="inlineStr">
        <is>
          <t>Status: Paid / Partial / Overdue (past due date with balance) / Open. 'Today' is taken from the computer clock.</t>
        </is>
      </c>
    </row>
    <row r="10">
      <c r="A10" t="inlineStr">
        <is>
          <t>Created with AI assistance and reviewed by a human. Not tax or legal advice - check local invoicing rules.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Business name</t>
        </is>
      </c>
      <c r="B1" s="2" t="inlineStr">
        <is>
          <t>Your Business LLC</t>
        </is>
      </c>
    </row>
    <row r="2">
      <c r="A2" t="inlineStr">
        <is>
          <t>Address</t>
        </is>
      </c>
      <c r="B2" s="2" t="inlineStr">
        <is>
          <t>123 Main St, City</t>
        </is>
      </c>
    </row>
    <row r="3">
      <c r="A3" t="inlineStr">
        <is>
          <t>Email</t>
        </is>
      </c>
      <c r="B3" s="2" t="inlineStr">
        <is>
          <t>you@example.com</t>
        </is>
      </c>
    </row>
    <row r="4">
      <c r="A4" t="inlineStr">
        <is>
          <t>Tax rate</t>
        </is>
      </c>
      <c r="B4" s="3" t="n">
        <v>0.08</v>
      </c>
    </row>
    <row r="5">
      <c r="A5" t="inlineStr">
        <is>
          <t>Payment terms (days)</t>
        </is>
      </c>
      <c r="B5" s="2" t="n">
        <v>30</v>
      </c>
    </row>
    <row r="6">
      <c r="A6" t="inlineStr">
        <is>
          <t>Currency symbol</t>
        </is>
      </c>
      <c r="B6" s="2" t="inlineStr">
        <is>
          <t>$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0" customWidth="1" min="4" max="4"/>
  </cols>
  <sheetData>
    <row r="1">
      <c r="A1" s="4" t="inlineStr">
        <is>
          <t>Client 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Address</t>
        </is>
      </c>
      <c r="E1" s="4" t="inlineStr">
        <is>
          <t>Invoiced</t>
        </is>
      </c>
      <c r="F1" s="4" t="inlineStr">
        <is>
          <t>Paid</t>
        </is>
      </c>
      <c r="G1" s="4" t="inlineStr">
        <is>
          <t>Balance</t>
        </is>
      </c>
    </row>
    <row r="2">
      <c r="A2" t="inlineStr">
        <is>
          <t>C001</t>
        </is>
      </c>
      <c r="B2" t="inlineStr">
        <is>
          <t>Acme Design Co</t>
        </is>
      </c>
      <c r="C2" t="inlineStr">
        <is>
          <t>ap@acme.example</t>
        </is>
      </c>
      <c r="D2" t="inlineStr">
        <is>
          <t>Sample address</t>
        </is>
      </c>
      <c r="E2">
        <f>IF(A2="","",SUMIFS(Invoices!$G$2:$G$26,Invoices!$B$2:$B$26,A2))</f>
        <v/>
      </c>
      <c r="F2">
        <f>IF(A2="","",SUMIFS(Invoices!$H$2:$H$26,Invoices!$B$2:$B$26,A2))</f>
        <v/>
      </c>
      <c r="G2">
        <f>IF(A2="","",E2-F2)</f>
        <v/>
      </c>
    </row>
    <row r="3">
      <c r="A3" t="inlineStr">
        <is>
          <t>C002</t>
        </is>
      </c>
      <c r="B3" t="inlineStr">
        <is>
          <t>Blue River Cafe</t>
        </is>
      </c>
      <c r="C3" t="inlineStr">
        <is>
          <t>owner@blueriver.example</t>
        </is>
      </c>
      <c r="D3" t="inlineStr">
        <is>
          <t>Sample address</t>
        </is>
      </c>
      <c r="E3">
        <f>IF(A3="","",SUMIFS(Invoices!$G$2:$G$26,Invoices!$B$2:$B$26,A3))</f>
        <v/>
      </c>
      <c r="F3">
        <f>IF(A3="","",SUMIFS(Invoices!$H$2:$H$26,Invoices!$B$2:$B$26,A3))</f>
        <v/>
      </c>
      <c r="G3">
        <f>IF(A3="","",E3-F3)</f>
        <v/>
      </c>
    </row>
    <row r="4">
      <c r="A4" t="inlineStr">
        <is>
          <t>C003</t>
        </is>
      </c>
      <c r="B4" t="inlineStr">
        <is>
          <t>Northwind Studio</t>
        </is>
      </c>
      <c r="C4" t="inlineStr">
        <is>
          <t>billing@northwind.example</t>
        </is>
      </c>
      <c r="D4" t="inlineStr">
        <is>
          <t>Sample address</t>
        </is>
      </c>
      <c r="E4">
        <f>IF(A4="","",SUMIFS(Invoices!$G$2:$G$26,Invoices!$B$2:$B$26,A4))</f>
        <v/>
      </c>
      <c r="F4">
        <f>IF(A4="","",SUMIFS(Invoices!$H$2:$H$26,Invoices!$B$2:$B$26,A4))</f>
        <v/>
      </c>
      <c r="G4">
        <f>IF(A4="","",E4-F4)</f>
        <v/>
      </c>
    </row>
    <row r="5">
      <c r="A5" t="inlineStr">
        <is>
          <t>C004</t>
        </is>
      </c>
      <c r="B5" t="inlineStr">
        <is>
          <t>Sunrise Dental</t>
        </is>
      </c>
      <c r="C5" t="inlineStr">
        <is>
          <t>office@sunrise.example</t>
        </is>
      </c>
      <c r="D5" t="inlineStr">
        <is>
          <t>Sample address</t>
        </is>
      </c>
      <c r="E5">
        <f>IF(A5="","",SUMIFS(Invoices!$G$2:$G$26,Invoices!$B$2:$B$26,A5))</f>
        <v/>
      </c>
      <c r="F5">
        <f>IF(A5="","",SUMIFS(Invoices!$H$2:$H$26,Invoices!$B$2:$B$26,A5))</f>
        <v/>
      </c>
      <c r="G5">
        <f>IF(A5="","",E5-F5)</f>
        <v/>
      </c>
    </row>
    <row r="6">
      <c r="E6">
        <f>IF(A6="","",SUMIFS(Invoices!$G$2:$G$26,Invoices!$B$2:$B$26,A6))</f>
        <v/>
      </c>
      <c r="F6">
        <f>IF(A6="","",SUMIFS(Invoices!$H$2:$H$26,Invoices!$B$2:$B$26,A6))</f>
        <v/>
      </c>
      <c r="G6">
        <f>IF(A6="","",E6-F6)</f>
        <v/>
      </c>
    </row>
    <row r="7">
      <c r="E7">
        <f>IF(A7="","",SUMIFS(Invoices!$G$2:$G$26,Invoices!$B$2:$B$26,A7))</f>
        <v/>
      </c>
      <c r="F7">
        <f>IF(A7="","",SUMIFS(Invoices!$H$2:$H$26,Invoices!$B$2:$B$26,A7))</f>
        <v/>
      </c>
      <c r="G7">
        <f>IF(A7="","",E7-F7)</f>
        <v/>
      </c>
    </row>
    <row r="8">
      <c r="E8">
        <f>IF(A8="","",SUMIFS(Invoices!$G$2:$G$26,Invoices!$B$2:$B$26,A8))</f>
        <v/>
      </c>
      <c r="F8">
        <f>IF(A8="","",SUMIFS(Invoices!$H$2:$H$26,Invoices!$B$2:$B$26,A8))</f>
        <v/>
      </c>
      <c r="G8">
        <f>IF(A8="","",E8-F8)</f>
        <v/>
      </c>
    </row>
    <row r="9">
      <c r="E9">
        <f>IF(A9="","",SUMIFS(Invoices!$G$2:$G$26,Invoices!$B$2:$B$26,A9))</f>
        <v/>
      </c>
      <c r="F9">
        <f>IF(A9="","",SUMIFS(Invoices!$H$2:$H$26,Invoices!$B$2:$B$26,A9))</f>
        <v/>
      </c>
      <c r="G9">
        <f>IF(A9="","",E9-F9)</f>
        <v/>
      </c>
    </row>
    <row r="10">
      <c r="E10">
        <f>IF(A10="","",SUMIFS(Invoices!$G$2:$G$26,Invoices!$B$2:$B$26,A10))</f>
        <v/>
      </c>
      <c r="F10">
        <f>IF(A10="","",SUMIFS(Invoices!$H$2:$H$26,Invoices!$B$2:$B$26,A10))</f>
        <v/>
      </c>
      <c r="G10">
        <f>IF(A10="","",E10-F10)</f>
        <v/>
      </c>
    </row>
    <row r="11">
      <c r="E11">
        <f>IF(A11="","",SUMIFS(Invoices!$G$2:$G$26,Invoices!$B$2:$B$26,A11))</f>
        <v/>
      </c>
      <c r="F11">
        <f>IF(A11="","",SUMIFS(Invoices!$H$2:$H$26,Invoices!$B$2:$B$26,A11))</f>
        <v/>
      </c>
      <c r="G11">
        <f>IF(A11="","",E11-F11)</f>
        <v/>
      </c>
    </row>
    <row r="12">
      <c r="E12">
        <f>IF(A12="","",SUMIFS(Invoices!$G$2:$G$26,Invoices!$B$2:$B$26,A12))</f>
        <v/>
      </c>
      <c r="F12">
        <f>IF(A12="","",SUMIFS(Invoices!$H$2:$H$26,Invoices!$B$2:$B$26,A12))</f>
        <v/>
      </c>
      <c r="G12">
        <f>IF(A12="","",E12-F12)</f>
        <v/>
      </c>
    </row>
    <row r="13">
      <c r="E13">
        <f>IF(A13="","",SUMIFS(Invoices!$G$2:$G$26,Invoices!$B$2:$B$26,A13))</f>
        <v/>
      </c>
      <c r="F13">
        <f>IF(A13="","",SUMIFS(Invoices!$H$2:$H$26,Invoices!$B$2:$B$26,A13))</f>
        <v/>
      </c>
      <c r="G13">
        <f>IF(A13="","",E13-F13)</f>
        <v/>
      </c>
    </row>
    <row r="14">
      <c r="E14">
        <f>IF(A14="","",SUMIFS(Invoices!$G$2:$G$26,Invoices!$B$2:$B$26,A14))</f>
        <v/>
      </c>
      <c r="F14">
        <f>IF(A14="","",SUMIFS(Invoices!$H$2:$H$26,Invoices!$B$2:$B$26,A14))</f>
        <v/>
      </c>
      <c r="G14">
        <f>IF(A14="","",E14-F14)</f>
        <v/>
      </c>
    </row>
    <row r="15">
      <c r="E15">
        <f>IF(A15="","",SUMIFS(Invoices!$G$2:$G$26,Invoices!$B$2:$B$26,A15))</f>
        <v/>
      </c>
      <c r="F15">
        <f>IF(A15="","",SUMIFS(Invoices!$H$2:$H$26,Invoices!$B$2:$B$26,A15))</f>
        <v/>
      </c>
      <c r="G15">
        <f>IF(A15="","",E15-F15)</f>
        <v/>
      </c>
    </row>
    <row r="16">
      <c r="E16">
        <f>IF(A16="","",SUMIFS(Invoices!$G$2:$G$26,Invoices!$B$2:$B$26,A16))</f>
        <v/>
      </c>
      <c r="F16">
        <f>IF(A16="","",SUMIFS(Invoices!$H$2:$H$26,Invoices!$B$2:$B$26,A16))</f>
        <v/>
      </c>
      <c r="G16">
        <f>IF(A16="","",E16-F16)</f>
        <v/>
      </c>
    </row>
    <row r="17">
      <c r="E17">
        <f>IF(A17="","",SUMIFS(Invoices!$G$2:$G$26,Invoices!$B$2:$B$26,A17))</f>
        <v/>
      </c>
      <c r="F17">
        <f>IF(A17="","",SUMIFS(Invoices!$H$2:$H$26,Invoices!$B$2:$B$26,A17))</f>
        <v/>
      </c>
      <c r="G17">
        <f>IF(A17="","",E17-F17)</f>
        <v/>
      </c>
    </row>
    <row r="18">
      <c r="E18">
        <f>IF(A18="","",SUMIFS(Invoices!$G$2:$G$26,Invoices!$B$2:$B$26,A18))</f>
        <v/>
      </c>
      <c r="F18">
        <f>IF(A18="","",SUMIFS(Invoices!$H$2:$H$26,Invoices!$B$2:$B$26,A18))</f>
        <v/>
      </c>
      <c r="G18">
        <f>IF(A18="","",E18-F18)</f>
        <v/>
      </c>
    </row>
    <row r="19">
      <c r="E19">
        <f>IF(A19="","",SUMIFS(Invoices!$G$2:$G$26,Invoices!$B$2:$B$26,A19))</f>
        <v/>
      </c>
      <c r="F19">
        <f>IF(A19="","",SUMIFS(Invoices!$H$2:$H$26,Invoices!$B$2:$B$26,A19))</f>
        <v/>
      </c>
      <c r="G19">
        <f>IF(A19="","",E19-F19)</f>
        <v/>
      </c>
    </row>
    <row r="20">
      <c r="E20">
        <f>IF(A20="","",SUMIFS(Invoices!$G$2:$G$26,Invoices!$B$2:$B$26,A20))</f>
        <v/>
      </c>
      <c r="F20">
        <f>IF(A20="","",SUMIFS(Invoices!$H$2:$H$26,Invoices!$B$2:$B$26,A20))</f>
        <v/>
      </c>
      <c r="G20">
        <f>IF(A20="","",E20-F20)</f>
        <v/>
      </c>
    </row>
    <row r="21">
      <c r="E21">
        <f>IF(A21="","",SUMIFS(Invoices!$G$2:$G$26,Invoices!$B$2:$B$26,A21))</f>
        <v/>
      </c>
      <c r="F21">
        <f>IF(A21="","",SUMIFS(Invoices!$H$2:$H$26,Invoices!$B$2:$B$26,A21))</f>
        <v/>
      </c>
      <c r="G21">
        <f>IF(A21="","",E21-F21)</f>
        <v/>
      </c>
    </row>
    <row r="22">
      <c r="E22">
        <f>IF(A22="","",SUMIFS(Invoices!$G$2:$G$26,Invoices!$B$2:$B$26,A22))</f>
        <v/>
      </c>
      <c r="F22">
        <f>IF(A22="","",SUMIFS(Invoices!$H$2:$H$26,Invoices!$B$2:$B$26,A22))</f>
        <v/>
      </c>
      <c r="G22">
        <f>IF(A22="","",E22-F22)</f>
        <v/>
      </c>
    </row>
    <row r="23">
      <c r="E23">
        <f>IF(A23="","",SUMIFS(Invoices!$G$2:$G$26,Invoices!$B$2:$B$26,A23))</f>
        <v/>
      </c>
      <c r="F23">
        <f>IF(A23="","",SUMIFS(Invoices!$H$2:$H$26,Invoices!$B$2:$B$26,A23))</f>
        <v/>
      </c>
      <c r="G23">
        <f>IF(A23="","",E23-F23)</f>
        <v/>
      </c>
    </row>
    <row r="24">
      <c r="E24">
        <f>IF(A24="","",SUMIFS(Invoices!$G$2:$G$26,Invoices!$B$2:$B$26,A24))</f>
        <v/>
      </c>
      <c r="F24">
        <f>IF(A24="","",SUMIFS(Invoices!$H$2:$H$26,Invoices!$B$2:$B$26,A24))</f>
        <v/>
      </c>
      <c r="G24">
        <f>IF(A24="","",E24-F24)</f>
        <v/>
      </c>
    </row>
    <row r="25">
      <c r="E25">
        <f>IF(A25="","",SUMIFS(Invoices!$G$2:$G$26,Invoices!$B$2:$B$26,A25))</f>
        <v/>
      </c>
      <c r="F25">
        <f>IF(A25="","",SUMIFS(Invoices!$H$2:$H$26,Invoices!$B$2:$B$26,A25))</f>
        <v/>
      </c>
      <c r="G25">
        <f>IF(A25="","",E25-F25)</f>
        <v/>
      </c>
    </row>
    <row r="26">
      <c r="E26">
        <f>IF(A26="","",SUMIFS(Invoices!$G$2:$G$26,Invoices!$B$2:$B$26,A26))</f>
        <v/>
      </c>
      <c r="F26">
        <f>IF(A26="","",SUMIFS(Invoices!$H$2:$H$26,Invoices!$B$2:$B$26,A26))</f>
        <v/>
      </c>
      <c r="G26">
        <f>IF(A26="","",E26-F26)</f>
        <v/>
      </c>
    </row>
    <row r="27">
      <c r="E27">
        <f>IF(A27="","",SUMIFS(Invoices!$G$2:$G$26,Invoices!$B$2:$B$26,A27))</f>
        <v/>
      </c>
      <c r="F27">
        <f>IF(A27="","",SUMIFS(Invoices!$H$2:$H$26,Invoices!$B$2:$B$26,A27))</f>
        <v/>
      </c>
      <c r="G27">
        <f>IF(A27="","",E27-F27)</f>
        <v/>
      </c>
    </row>
    <row r="28">
      <c r="E28">
        <f>IF(A28="","",SUMIFS(Invoices!$G$2:$G$26,Invoices!$B$2:$B$26,A28))</f>
        <v/>
      </c>
      <c r="F28">
        <f>IF(A28="","",SUMIFS(Invoices!$H$2:$H$26,Invoices!$B$2:$B$26,A28))</f>
        <v/>
      </c>
      <c r="G28">
        <f>IF(A28="","",E28-F28)</f>
        <v/>
      </c>
    </row>
    <row r="29">
      <c r="E29">
        <f>IF(A29="","",SUMIFS(Invoices!$G$2:$G$26,Invoices!$B$2:$B$26,A29))</f>
        <v/>
      </c>
      <c r="F29">
        <f>IF(A29="","",SUMIFS(Invoices!$H$2:$H$26,Invoices!$B$2:$B$26,A29))</f>
        <v/>
      </c>
      <c r="G29">
        <f>IF(A29="","",E29-F29)</f>
        <v/>
      </c>
    </row>
    <row r="30">
      <c r="E30">
        <f>IF(A30="","",SUMIFS(Invoices!$G$2:$G$26,Invoices!$B$2:$B$26,A30))</f>
        <v/>
      </c>
      <c r="F30">
        <f>IF(A30="","",SUMIFS(Invoices!$H$2:$H$26,Invoices!$B$2:$B$26,A30))</f>
        <v/>
      </c>
      <c r="G30">
        <f>IF(A30="","",E30-F30)</f>
        <v/>
      </c>
    </row>
    <row r="31">
      <c r="E31">
        <f>IF(A31="","",SUMIFS(Invoices!$G$2:$G$26,Invoices!$B$2:$B$26,A31))</f>
        <v/>
      </c>
      <c r="F31">
        <f>IF(A31="","",SUMIFS(Invoices!$H$2:$H$26,Invoices!$B$2:$B$26,A31))</f>
        <v/>
      </c>
      <c r="G31">
        <f>IF(A31="","",E31-F31)</f>
        <v/>
      </c>
    </row>
    <row r="32">
      <c r="E32">
        <f>IF(A32="","",SUMIFS(Invoices!$G$2:$G$26,Invoices!$B$2:$B$26,A32))</f>
        <v/>
      </c>
      <c r="F32">
        <f>IF(A32="","",SUMIFS(Invoices!$H$2:$H$26,Invoices!$B$2:$B$26,A32))</f>
        <v/>
      </c>
      <c r="G32">
        <f>IF(A32="","",E32-F32)</f>
        <v/>
      </c>
    </row>
    <row r="33">
      <c r="E33">
        <f>IF(A33="","",SUMIFS(Invoices!$G$2:$G$26,Invoices!$B$2:$B$26,A33))</f>
        <v/>
      </c>
      <c r="F33">
        <f>IF(A33="","",SUMIFS(Invoices!$H$2:$H$26,Invoices!$B$2:$B$26,A33))</f>
        <v/>
      </c>
      <c r="G33">
        <f>IF(A33="","",E33-F33)</f>
        <v/>
      </c>
    </row>
    <row r="34">
      <c r="E34">
        <f>IF(A34="","",SUMIFS(Invoices!$G$2:$G$26,Invoices!$B$2:$B$26,A34))</f>
        <v/>
      </c>
      <c r="F34">
        <f>IF(A34="","",SUMIFS(Invoices!$H$2:$H$26,Invoices!$B$2:$B$26,A34))</f>
        <v/>
      </c>
      <c r="G34">
        <f>IF(A34="","",E34-F34)</f>
        <v/>
      </c>
    </row>
    <row r="35">
      <c r="E35">
        <f>IF(A35="","",SUMIFS(Invoices!$G$2:$G$26,Invoices!$B$2:$B$26,A35))</f>
        <v/>
      </c>
      <c r="F35">
        <f>IF(A35="","",SUMIFS(Invoices!$H$2:$H$26,Invoices!$B$2:$B$26,A35))</f>
        <v/>
      </c>
      <c r="G35">
        <f>IF(A35="","",E35-F35)</f>
        <v/>
      </c>
    </row>
    <row r="36">
      <c r="E36">
        <f>IF(A36="","",SUMIFS(Invoices!$G$2:$G$26,Invoices!$B$2:$B$26,A36))</f>
        <v/>
      </c>
      <c r="F36">
        <f>IF(A36="","",SUMIFS(Invoices!$H$2:$H$26,Invoices!$B$2:$B$26,A36))</f>
        <v/>
      </c>
      <c r="G36">
        <f>IF(A36="","",E36-F36)</f>
        <v/>
      </c>
    </row>
    <row r="37">
      <c r="E37">
        <f>IF(A37="","",SUMIFS(Invoices!$G$2:$G$26,Invoices!$B$2:$B$26,A37))</f>
        <v/>
      </c>
      <c r="F37">
        <f>IF(A37="","",SUMIFS(Invoices!$H$2:$H$26,Invoices!$B$2:$B$26,A37))</f>
        <v/>
      </c>
      <c r="G37">
        <f>IF(A37="","",E37-F37)</f>
        <v/>
      </c>
    </row>
    <row r="38">
      <c r="E38">
        <f>IF(A38="","",SUMIFS(Invoices!$G$2:$G$26,Invoices!$B$2:$B$26,A38))</f>
        <v/>
      </c>
      <c r="F38">
        <f>IF(A38="","",SUMIFS(Invoices!$H$2:$H$26,Invoices!$B$2:$B$26,A38))</f>
        <v/>
      </c>
      <c r="G38">
        <f>IF(A38="","",E38-F38)</f>
        <v/>
      </c>
    </row>
    <row r="39">
      <c r="E39">
        <f>IF(A39="","",SUMIFS(Invoices!$G$2:$G$26,Invoices!$B$2:$B$26,A39))</f>
        <v/>
      </c>
      <c r="F39">
        <f>IF(A39="","",SUMIFS(Invoices!$H$2:$H$26,Invoices!$B$2:$B$26,A39))</f>
        <v/>
      </c>
      <c r="G39">
        <f>IF(A39="","",E39-F39)</f>
        <v/>
      </c>
    </row>
    <row r="40">
      <c r="E40">
        <f>IF(A40="","",SUMIFS(Invoices!$G$2:$G$26,Invoices!$B$2:$B$26,A40))</f>
        <v/>
      </c>
      <c r="F40">
        <f>IF(A40="","",SUMIFS(Invoices!$H$2:$H$26,Invoices!$B$2:$B$26,A40))</f>
        <v/>
      </c>
      <c r="G40">
        <f>IF(A40="","",E40-F40)</f>
        <v/>
      </c>
    </row>
    <row r="41">
      <c r="E41">
        <f>IF(A41="","",SUMIFS(Invoices!$G$2:$G$26,Invoices!$B$2:$B$26,A41))</f>
        <v/>
      </c>
      <c r="F41">
        <f>IF(A41="","",SUMIFS(Invoices!$H$2:$H$26,Invoices!$B$2:$B$26,A41))</f>
        <v/>
      </c>
      <c r="G41">
        <f>IF(A41="","",E41-F41)</f>
        <v/>
      </c>
    </row>
    <row r="42">
      <c r="E42">
        <f>IF(A42="","",SUMIFS(Invoices!$G$2:$G$26,Invoices!$B$2:$B$26,A42))</f>
        <v/>
      </c>
      <c r="F42">
        <f>IF(A42="","",SUMIFS(Invoices!$H$2:$H$26,Invoices!$B$2:$B$26,A42))</f>
        <v/>
      </c>
      <c r="G42">
        <f>IF(A42="","",E42-F42)</f>
        <v/>
      </c>
    </row>
    <row r="43">
      <c r="E43">
        <f>IF(A43="","",SUMIFS(Invoices!$G$2:$G$26,Invoices!$B$2:$B$26,A43))</f>
        <v/>
      </c>
      <c r="F43">
        <f>IF(A43="","",SUMIFS(Invoices!$H$2:$H$26,Invoices!$B$2:$B$26,A43))</f>
        <v/>
      </c>
      <c r="G43">
        <f>IF(A43="","",E43-F43)</f>
        <v/>
      </c>
    </row>
    <row r="44">
      <c r="E44">
        <f>IF(A44="","",SUMIFS(Invoices!$G$2:$G$26,Invoices!$B$2:$B$26,A44))</f>
        <v/>
      </c>
      <c r="F44">
        <f>IF(A44="","",SUMIFS(Invoices!$H$2:$H$26,Invoices!$B$2:$B$26,A44))</f>
        <v/>
      </c>
      <c r="G44">
        <f>IF(A44="","",E44-F44)</f>
        <v/>
      </c>
    </row>
    <row r="45">
      <c r="E45">
        <f>IF(A45="","",SUMIFS(Invoices!$G$2:$G$26,Invoices!$B$2:$B$26,A45))</f>
        <v/>
      </c>
      <c r="F45">
        <f>IF(A45="","",SUMIFS(Invoices!$H$2:$H$26,Invoices!$B$2:$B$26,A45))</f>
        <v/>
      </c>
      <c r="G45">
        <f>IF(A45="","",E45-F45)</f>
        <v/>
      </c>
    </row>
    <row r="46">
      <c r="E46">
        <f>IF(A46="","",SUMIFS(Invoices!$G$2:$G$26,Invoices!$B$2:$B$26,A46))</f>
        <v/>
      </c>
      <c r="F46">
        <f>IF(A46="","",SUMIFS(Invoices!$H$2:$H$26,Invoices!$B$2:$B$26,A46))</f>
        <v/>
      </c>
      <c r="G46">
        <f>IF(A46="","",E46-F46)</f>
        <v/>
      </c>
    </row>
    <row r="47">
      <c r="E47">
        <f>IF(A47="","",SUMIFS(Invoices!$G$2:$G$26,Invoices!$B$2:$B$26,A47))</f>
        <v/>
      </c>
      <c r="F47">
        <f>IF(A47="","",SUMIFS(Invoices!$H$2:$H$26,Invoices!$B$2:$B$26,A47))</f>
        <v/>
      </c>
      <c r="G47">
        <f>IF(A47="","",E47-F47)</f>
        <v/>
      </c>
    </row>
    <row r="48">
      <c r="E48">
        <f>IF(A48="","",SUMIFS(Invoices!$G$2:$G$26,Invoices!$B$2:$B$26,A48))</f>
        <v/>
      </c>
      <c r="F48">
        <f>IF(A48="","",SUMIFS(Invoices!$H$2:$H$26,Invoices!$B$2:$B$26,A48))</f>
        <v/>
      </c>
      <c r="G48">
        <f>IF(A48="","",E48-F48)</f>
        <v/>
      </c>
    </row>
    <row r="49">
      <c r="E49">
        <f>IF(A49="","",SUMIFS(Invoices!$G$2:$G$26,Invoices!$B$2:$B$26,A49))</f>
        <v/>
      </c>
      <c r="F49">
        <f>IF(A49="","",SUMIFS(Invoices!$H$2:$H$26,Invoices!$B$2:$B$26,A49))</f>
        <v/>
      </c>
      <c r="G49">
        <f>IF(A49="","",E49-F49)</f>
        <v/>
      </c>
    </row>
    <row r="50">
      <c r="E50">
        <f>IF(A50="","",SUMIFS(Invoices!$G$2:$G$26,Invoices!$B$2:$B$26,A50))</f>
        <v/>
      </c>
      <c r="F50">
        <f>IF(A50="","",SUMIFS(Invoices!$H$2:$H$26,Invoices!$B$2:$B$26,A50))</f>
        <v/>
      </c>
      <c r="G50">
        <f>IF(A50="","",E50-F50)</f>
        <v/>
      </c>
    </row>
    <row r="51">
      <c r="E51">
        <f>IF(A51="","",SUMIFS(Invoices!$G$2:$G$26,Invoices!$B$2:$B$26,A51))</f>
        <v/>
      </c>
      <c r="F51">
        <f>IF(A51="","",SUMIFS(Invoices!$H$2:$H$26,Invoices!$B$2:$B$26,A51))</f>
        <v/>
      </c>
      <c r="G51">
        <f>IF(A51="","",E51-F51)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  <col width="10" customWidth="1" min="9" max="9"/>
    <col width="9" customWidth="1" min="10" max="10"/>
    <col width="18" customWidth="1" min="11" max="11"/>
  </cols>
  <sheetData>
    <row r="1">
      <c r="A1" s="4" t="inlineStr">
        <is>
          <t>Invoice #</t>
        </is>
      </c>
      <c r="B1" s="4" t="inlineStr">
        <is>
          <t>Client ID</t>
        </is>
      </c>
      <c r="C1" s="4" t="inlineStr">
        <is>
          <t>Client name</t>
        </is>
      </c>
      <c r="D1" s="4" t="inlineStr">
        <is>
          <t>Issue date</t>
        </is>
      </c>
      <c r="E1" s="4" t="inlineStr">
        <is>
          <t>Due date</t>
        </is>
      </c>
      <c r="F1" s="4" t="inlineStr">
        <is>
          <t>Subtotal</t>
        </is>
      </c>
      <c r="G1" s="4" t="inlineStr">
        <is>
          <t>Total (incl. tax)</t>
        </is>
      </c>
      <c r="H1" s="4" t="inlineStr">
        <is>
          <t>Paid</t>
        </is>
      </c>
      <c r="I1" s="4" t="inlineStr">
        <is>
          <t>Balance</t>
        </is>
      </c>
      <c r="J1" s="4" t="inlineStr">
        <is>
          <t>Status</t>
        </is>
      </c>
      <c r="K1" s="4" t="inlineStr">
        <is>
          <t>Description</t>
        </is>
      </c>
    </row>
    <row r="2">
      <c r="A2" t="inlineStr">
        <is>
          <t>INV-1001</t>
        </is>
      </c>
      <c r="B2" t="inlineStr">
        <is>
          <t>C001</t>
        </is>
      </c>
      <c r="C2">
        <f>IF(B2="","",IFERROR(INDEX(Clients!$B$2:$B$51,MATCH(B2,Clients!$A$2:$A$51,0)),"?"))</f>
        <v/>
      </c>
      <c r="D2" s="5" t="n">
        <v>46206</v>
      </c>
      <c r="E2" s="5">
        <f>IF(D2="","",D2+Settings!$B$5)</f>
        <v/>
      </c>
      <c r="F2" t="n">
        <v>1200</v>
      </c>
      <c r="G2">
        <f>IF(F2="","",ROUND(F2*(1+Settings!$B$4),2))</f>
        <v/>
      </c>
      <c r="H2">
        <f>IF(A2="","",SUMIFS(Payments!$C:$C,Payments!$B:$B,A2))</f>
        <v/>
      </c>
      <c r="I2">
        <f>IF(A2="","",G2-H2)</f>
        <v/>
      </c>
      <c r="J2">
        <f>IF(A2="","",IF(I2&lt;=0,"Paid",IF(TODAY()&gt;E2,"Overdue",IF(H2&gt;0,"Partial","Open"))))</f>
        <v/>
      </c>
      <c r="K2" t="inlineStr">
        <is>
          <t>Logo package</t>
        </is>
      </c>
    </row>
    <row r="3">
      <c r="A3" t="inlineStr">
        <is>
          <t>INV-1002</t>
        </is>
      </c>
      <c r="B3" t="inlineStr">
        <is>
          <t>C002</t>
        </is>
      </c>
      <c r="C3">
        <f>IF(B3="","",IFERROR(INDEX(Clients!$B$2:$B$51,MATCH(B3,Clients!$A$2:$A$51,0)),"?"))</f>
        <v/>
      </c>
      <c r="D3" s="5" t="n">
        <v>46223</v>
      </c>
      <c r="E3" s="5">
        <f>IF(D3="","",D3+Settings!$B$5)</f>
        <v/>
      </c>
      <c r="F3" t="n">
        <v>450</v>
      </c>
      <c r="G3">
        <f>IF(F3="","",ROUND(F3*(1+Settings!$B$4),2))</f>
        <v/>
      </c>
      <c r="H3">
        <f>IF(A3="","",SUMIFS(Payments!$C:$C,Payments!$B:$B,A3))</f>
        <v/>
      </c>
      <c r="I3">
        <f>IF(A3="","",G3-H3)</f>
        <v/>
      </c>
      <c r="J3">
        <f>IF(A3="","",IF(I3&lt;=0,"Paid",IF(TODAY()&gt;E3,"Overdue",IF(H3&gt;0,"Partial","Open"))))</f>
        <v/>
      </c>
      <c r="K3" t="inlineStr">
        <is>
          <t>Menu design</t>
        </is>
      </c>
    </row>
    <row r="4">
      <c r="A4" t="inlineStr">
        <is>
          <t>INV-1003</t>
        </is>
      </c>
      <c r="B4" t="inlineStr">
        <is>
          <t>C003</t>
        </is>
      </c>
      <c r="C4">
        <f>IF(B4="","",IFERROR(INDEX(Clients!$B$2:$B$51,MATCH(B4,Clients!$A$2:$A$51,0)),"?"))</f>
        <v/>
      </c>
      <c r="D4" s="5" t="n">
        <v>46239</v>
      </c>
      <c r="E4" s="5">
        <f>IF(D4="","",D4+Settings!$B$5)</f>
        <v/>
      </c>
      <c r="F4" t="n">
        <v>2300</v>
      </c>
      <c r="G4">
        <f>IF(F4="","",ROUND(F4*(1+Settings!$B$4),2))</f>
        <v/>
      </c>
      <c r="H4">
        <f>IF(A4="","",SUMIFS(Payments!$C:$C,Payments!$B:$B,A4))</f>
        <v/>
      </c>
      <c r="I4">
        <f>IF(A4="","",G4-H4)</f>
        <v/>
      </c>
      <c r="J4">
        <f>IF(A4="","",IF(I4&lt;=0,"Paid",IF(TODAY()&gt;E4,"Overdue",IF(H4&gt;0,"Partial","Open"))))</f>
        <v/>
      </c>
      <c r="K4" t="inlineStr">
        <is>
          <t>Website pages</t>
        </is>
      </c>
    </row>
    <row r="5">
      <c r="A5" t="inlineStr">
        <is>
          <t>INV-1004</t>
        </is>
      </c>
      <c r="B5" t="inlineStr">
        <is>
          <t>C001</t>
        </is>
      </c>
      <c r="C5">
        <f>IF(B5="","",IFERROR(INDEX(Clients!$B$2:$B$51,MATCH(B5,Clients!$A$2:$A$51,0)),"?"))</f>
        <v/>
      </c>
      <c r="D5" s="5" t="n">
        <v>46262</v>
      </c>
      <c r="E5" s="5">
        <f>IF(D5="","",D5+Settings!$B$5)</f>
        <v/>
      </c>
      <c r="F5" t="n">
        <v>800</v>
      </c>
      <c r="G5">
        <f>IF(F5="","",ROUND(F5*(1+Settings!$B$4),2))</f>
        <v/>
      </c>
      <c r="H5">
        <f>IF(A5="","",SUMIFS(Payments!$C:$C,Payments!$B:$B,A5))</f>
        <v/>
      </c>
      <c r="I5">
        <f>IF(A5="","",G5-H5)</f>
        <v/>
      </c>
      <c r="J5">
        <f>IF(A5="","",IF(I5&lt;=0,"Paid",IF(TODAY()&gt;E5,"Overdue",IF(H5&gt;0,"Partial","Open"))))</f>
        <v/>
      </c>
      <c r="K5" t="inlineStr">
        <is>
          <t>Brand guide</t>
        </is>
      </c>
    </row>
    <row r="6">
      <c r="A6" t="inlineStr">
        <is>
          <t>INV-1005</t>
        </is>
      </c>
      <c r="B6" t="inlineStr">
        <is>
          <t>C004</t>
        </is>
      </c>
      <c r="C6">
        <f>IF(B6="","",IFERROR(INDEX(Clients!$B$2:$B$51,MATCH(B6,Clients!$A$2:$A$51,0)),"?"))</f>
        <v/>
      </c>
      <c r="D6" s="5" t="n">
        <v>46275</v>
      </c>
      <c r="E6" s="5">
        <f>IF(D6="","",D6+Settings!$B$5)</f>
        <v/>
      </c>
      <c r="F6" t="n">
        <v>650</v>
      </c>
      <c r="G6">
        <f>IF(F6="","",ROUND(F6*(1+Settings!$B$4),2))</f>
        <v/>
      </c>
      <c r="H6">
        <f>IF(A6="","",SUMIFS(Payments!$C:$C,Payments!$B:$B,A6))</f>
        <v/>
      </c>
      <c r="I6">
        <f>IF(A6="","",G6-H6)</f>
        <v/>
      </c>
      <c r="J6">
        <f>IF(A6="","",IF(I6&lt;=0,"Paid",IF(TODAY()&gt;E6,"Overdue",IF(H6&gt;0,"Partial","Open"))))</f>
        <v/>
      </c>
      <c r="K6" t="inlineStr">
        <is>
          <t>Flyers</t>
        </is>
      </c>
    </row>
    <row r="7">
      <c r="A7" t="inlineStr">
        <is>
          <t>INV-1006</t>
        </is>
      </c>
      <c r="B7" t="inlineStr">
        <is>
          <t>C003</t>
        </is>
      </c>
      <c r="C7">
        <f>IF(B7="","",IFERROR(INDEX(Clients!$B$2:$B$51,MATCH(B7,Clients!$A$2:$A$51,0)),"?"))</f>
        <v/>
      </c>
      <c r="D7" s="5" t="n">
        <v>46296</v>
      </c>
      <c r="E7" s="5">
        <f>IF(D7="","",D7+Settings!$B$5)</f>
        <v/>
      </c>
      <c r="F7" t="n">
        <v>1500</v>
      </c>
      <c r="G7">
        <f>IF(F7="","",ROUND(F7*(1+Settings!$B$4),2))</f>
        <v/>
      </c>
      <c r="H7">
        <f>IF(A7="","",SUMIFS(Payments!$C:$C,Payments!$B:$B,A7))</f>
        <v/>
      </c>
      <c r="I7">
        <f>IF(A7="","",G7-H7)</f>
        <v/>
      </c>
      <c r="J7">
        <f>IF(A7="","",IF(I7&lt;=0,"Paid",IF(TODAY()&gt;E7,"Overdue",IF(H7&gt;0,"Partial","Open"))))</f>
        <v/>
      </c>
      <c r="K7" t="inlineStr">
        <is>
          <t>Retainer Oct</t>
        </is>
      </c>
    </row>
    <row r="8">
      <c r="C8">
        <f>IF(B8="","",IFERROR(INDEX(Clients!$B$2:$B$51,MATCH(B8,Clients!$A$2:$A$51,0)),"?"))</f>
        <v/>
      </c>
      <c r="D8" s="5" t="n"/>
      <c r="E8" s="5">
        <f>IF(D8="","",D8+Settings!$B$5)</f>
        <v/>
      </c>
      <c r="G8">
        <f>IF(F8="","",ROUND(F8*(1+Settings!$B$4),2))</f>
        <v/>
      </c>
      <c r="H8">
        <f>IF(A8="","",SUMIFS(Payments!$C:$C,Payments!$B:$B,A8))</f>
        <v/>
      </c>
      <c r="I8">
        <f>IF(A8="","",G8-H8)</f>
        <v/>
      </c>
      <c r="J8">
        <f>IF(A8="","",IF(I8&lt;=0,"Paid",IF(TODAY()&gt;E8,"Overdue",IF(H8&gt;0,"Partial","Open"))))</f>
        <v/>
      </c>
    </row>
    <row r="9">
      <c r="C9">
        <f>IF(B9="","",IFERROR(INDEX(Clients!$B$2:$B$51,MATCH(B9,Clients!$A$2:$A$51,0)),"?"))</f>
        <v/>
      </c>
      <c r="D9" s="5" t="n"/>
      <c r="E9" s="5">
        <f>IF(D9="","",D9+Settings!$B$5)</f>
        <v/>
      </c>
      <c r="G9">
        <f>IF(F9="","",ROUND(F9*(1+Settings!$B$4),2))</f>
        <v/>
      </c>
      <c r="H9">
        <f>IF(A9="","",SUMIFS(Payments!$C:$C,Payments!$B:$B,A9))</f>
        <v/>
      </c>
      <c r="I9">
        <f>IF(A9="","",G9-H9)</f>
        <v/>
      </c>
      <c r="J9">
        <f>IF(A9="","",IF(I9&lt;=0,"Paid",IF(TODAY()&gt;E9,"Overdue",IF(H9&gt;0,"Partial","Open"))))</f>
        <v/>
      </c>
    </row>
    <row r="10">
      <c r="C10">
        <f>IF(B10="","",IFERROR(INDEX(Clients!$B$2:$B$51,MATCH(B10,Clients!$A$2:$A$51,0)),"?"))</f>
        <v/>
      </c>
      <c r="D10" s="5" t="n"/>
      <c r="E10" s="5">
        <f>IF(D10="","",D10+Settings!$B$5)</f>
        <v/>
      </c>
      <c r="G10">
        <f>IF(F10="","",ROUND(F10*(1+Settings!$B$4),2))</f>
        <v/>
      </c>
      <c r="H10">
        <f>IF(A10="","",SUMIFS(Payments!$C:$C,Payments!$B:$B,A10))</f>
        <v/>
      </c>
      <c r="I10">
        <f>IF(A10="","",G10-H10)</f>
        <v/>
      </c>
      <c r="J10">
        <f>IF(A10="","",IF(I10&lt;=0,"Paid",IF(TODAY()&gt;E10,"Overdue",IF(H10&gt;0,"Partial","Open"))))</f>
        <v/>
      </c>
    </row>
    <row r="11">
      <c r="C11">
        <f>IF(B11="","",IFERROR(INDEX(Clients!$B$2:$B$51,MATCH(B11,Clients!$A$2:$A$51,0)),"?"))</f>
        <v/>
      </c>
      <c r="D11" s="5" t="n"/>
      <c r="E11" s="5">
        <f>IF(D11="","",D11+Settings!$B$5)</f>
        <v/>
      </c>
      <c r="G11">
        <f>IF(F11="","",ROUND(F11*(1+Settings!$B$4),2))</f>
        <v/>
      </c>
      <c r="H11">
        <f>IF(A11="","",SUMIFS(Payments!$C:$C,Payments!$B:$B,A11))</f>
        <v/>
      </c>
      <c r="I11">
        <f>IF(A11="","",G11-H11)</f>
        <v/>
      </c>
      <c r="J11">
        <f>IF(A11="","",IF(I11&lt;=0,"Paid",IF(TODAY()&gt;E11,"Overdue",IF(H11&gt;0,"Partial","Open"))))</f>
        <v/>
      </c>
    </row>
    <row r="12">
      <c r="C12">
        <f>IF(B12="","",IFERROR(INDEX(Clients!$B$2:$B$51,MATCH(B12,Clients!$A$2:$A$51,0)),"?"))</f>
        <v/>
      </c>
      <c r="D12" s="5" t="n"/>
      <c r="E12" s="5">
        <f>IF(D12="","",D12+Settings!$B$5)</f>
        <v/>
      </c>
      <c r="G12">
        <f>IF(F12="","",ROUND(F12*(1+Settings!$B$4),2))</f>
        <v/>
      </c>
      <c r="H12">
        <f>IF(A12="","",SUMIFS(Payments!$C:$C,Payments!$B:$B,A12))</f>
        <v/>
      </c>
      <c r="I12">
        <f>IF(A12="","",G12-H12)</f>
        <v/>
      </c>
      <c r="J12">
        <f>IF(A12="","",IF(I12&lt;=0,"Paid",IF(TODAY()&gt;E12,"Overdue",IF(H12&gt;0,"Partial","Open"))))</f>
        <v/>
      </c>
    </row>
    <row r="13">
      <c r="C13">
        <f>IF(B13="","",IFERROR(INDEX(Clients!$B$2:$B$51,MATCH(B13,Clients!$A$2:$A$51,0)),"?"))</f>
        <v/>
      </c>
      <c r="D13" s="5" t="n"/>
      <c r="E13" s="5">
        <f>IF(D13="","",D13+Settings!$B$5)</f>
        <v/>
      </c>
      <c r="G13">
        <f>IF(F13="","",ROUND(F13*(1+Settings!$B$4),2))</f>
        <v/>
      </c>
      <c r="H13">
        <f>IF(A13="","",SUMIFS(Payments!$C:$C,Payments!$B:$B,A13))</f>
        <v/>
      </c>
      <c r="I13">
        <f>IF(A13="","",G13-H13)</f>
        <v/>
      </c>
      <c r="J13">
        <f>IF(A13="","",IF(I13&lt;=0,"Paid",IF(TODAY()&gt;E13,"Overdue",IF(H13&gt;0,"Partial","Open"))))</f>
        <v/>
      </c>
    </row>
    <row r="14">
      <c r="C14">
        <f>IF(B14="","",IFERROR(INDEX(Clients!$B$2:$B$51,MATCH(B14,Clients!$A$2:$A$51,0)),"?"))</f>
        <v/>
      </c>
      <c r="D14" s="5" t="n"/>
      <c r="E14" s="5">
        <f>IF(D14="","",D14+Settings!$B$5)</f>
        <v/>
      </c>
      <c r="G14">
        <f>IF(F14="","",ROUND(F14*(1+Settings!$B$4),2))</f>
        <v/>
      </c>
      <c r="H14">
        <f>IF(A14="","",SUMIFS(Payments!$C:$C,Payments!$B:$B,A14))</f>
        <v/>
      </c>
      <c r="I14">
        <f>IF(A14="","",G14-H14)</f>
        <v/>
      </c>
      <c r="J14">
        <f>IF(A14="","",IF(I14&lt;=0,"Paid",IF(TODAY()&gt;E14,"Overdue",IF(H14&gt;0,"Partial","Open"))))</f>
        <v/>
      </c>
    </row>
    <row r="15">
      <c r="C15">
        <f>IF(B15="","",IFERROR(INDEX(Clients!$B$2:$B$51,MATCH(B15,Clients!$A$2:$A$51,0)),"?"))</f>
        <v/>
      </c>
      <c r="D15" s="5" t="n"/>
      <c r="E15" s="5">
        <f>IF(D15="","",D15+Settings!$B$5)</f>
        <v/>
      </c>
      <c r="G15">
        <f>IF(F15="","",ROUND(F15*(1+Settings!$B$4),2))</f>
        <v/>
      </c>
      <c r="H15">
        <f>IF(A15="","",SUMIFS(Payments!$C:$C,Payments!$B:$B,A15))</f>
        <v/>
      </c>
      <c r="I15">
        <f>IF(A15="","",G15-H15)</f>
        <v/>
      </c>
      <c r="J15">
        <f>IF(A15="","",IF(I15&lt;=0,"Paid",IF(TODAY()&gt;E15,"Overdue",IF(H15&gt;0,"Partial","Open"))))</f>
        <v/>
      </c>
    </row>
    <row r="16">
      <c r="C16">
        <f>IF(B16="","",IFERROR(INDEX(Clients!$B$2:$B$51,MATCH(B16,Clients!$A$2:$A$51,0)),"?"))</f>
        <v/>
      </c>
      <c r="D16" s="5" t="n"/>
      <c r="E16" s="5">
        <f>IF(D16="","",D16+Settings!$B$5)</f>
        <v/>
      </c>
      <c r="G16">
        <f>IF(F16="","",ROUND(F16*(1+Settings!$B$4),2))</f>
        <v/>
      </c>
      <c r="H16">
        <f>IF(A16="","",SUMIFS(Payments!$C:$C,Payments!$B:$B,A16))</f>
        <v/>
      </c>
      <c r="I16">
        <f>IF(A16="","",G16-H16)</f>
        <v/>
      </c>
      <c r="J16">
        <f>IF(A16="","",IF(I16&lt;=0,"Paid",IF(TODAY()&gt;E16,"Overdue",IF(H16&gt;0,"Partial","Open"))))</f>
        <v/>
      </c>
    </row>
    <row r="17">
      <c r="C17">
        <f>IF(B17="","",IFERROR(INDEX(Clients!$B$2:$B$51,MATCH(B17,Clients!$A$2:$A$51,0)),"?"))</f>
        <v/>
      </c>
      <c r="D17" s="5" t="n"/>
      <c r="E17" s="5">
        <f>IF(D17="","",D17+Settings!$B$5)</f>
        <v/>
      </c>
      <c r="G17">
        <f>IF(F17="","",ROUND(F17*(1+Settings!$B$4),2))</f>
        <v/>
      </c>
      <c r="H17">
        <f>IF(A17="","",SUMIFS(Payments!$C:$C,Payments!$B:$B,A17))</f>
        <v/>
      </c>
      <c r="I17">
        <f>IF(A17="","",G17-H17)</f>
        <v/>
      </c>
      <c r="J17">
        <f>IF(A17="","",IF(I17&lt;=0,"Paid",IF(TODAY()&gt;E17,"Overdue",IF(H17&gt;0,"Partial","Open"))))</f>
        <v/>
      </c>
    </row>
    <row r="18">
      <c r="C18">
        <f>IF(B18="","",IFERROR(INDEX(Clients!$B$2:$B$51,MATCH(B18,Clients!$A$2:$A$51,0)),"?"))</f>
        <v/>
      </c>
      <c r="D18" s="5" t="n"/>
      <c r="E18" s="5">
        <f>IF(D18="","",D18+Settings!$B$5)</f>
        <v/>
      </c>
      <c r="G18">
        <f>IF(F18="","",ROUND(F18*(1+Settings!$B$4),2))</f>
        <v/>
      </c>
      <c r="H18">
        <f>IF(A18="","",SUMIFS(Payments!$C:$C,Payments!$B:$B,A18))</f>
        <v/>
      </c>
      <c r="I18">
        <f>IF(A18="","",G18-H18)</f>
        <v/>
      </c>
      <c r="J18">
        <f>IF(A18="","",IF(I18&lt;=0,"Paid",IF(TODAY()&gt;E18,"Overdue",IF(H18&gt;0,"Partial","Open"))))</f>
        <v/>
      </c>
    </row>
    <row r="19">
      <c r="C19">
        <f>IF(B19="","",IFERROR(INDEX(Clients!$B$2:$B$51,MATCH(B19,Clients!$A$2:$A$51,0)),"?"))</f>
        <v/>
      </c>
      <c r="D19" s="5" t="n"/>
      <c r="E19" s="5">
        <f>IF(D19="","",D19+Settings!$B$5)</f>
        <v/>
      </c>
      <c r="G19">
        <f>IF(F19="","",ROUND(F19*(1+Settings!$B$4),2))</f>
        <v/>
      </c>
      <c r="H19">
        <f>IF(A19="","",SUMIFS(Payments!$C:$C,Payments!$B:$B,A19))</f>
        <v/>
      </c>
      <c r="I19">
        <f>IF(A19="","",G19-H19)</f>
        <v/>
      </c>
      <c r="J19">
        <f>IF(A19="","",IF(I19&lt;=0,"Paid",IF(TODAY()&gt;E19,"Overdue",IF(H19&gt;0,"Partial","Open"))))</f>
        <v/>
      </c>
    </row>
    <row r="20">
      <c r="C20">
        <f>IF(B20="","",IFERROR(INDEX(Clients!$B$2:$B$51,MATCH(B20,Clients!$A$2:$A$51,0)),"?"))</f>
        <v/>
      </c>
      <c r="D20" s="5" t="n"/>
      <c r="E20" s="5">
        <f>IF(D20="","",D20+Settings!$B$5)</f>
        <v/>
      </c>
      <c r="G20">
        <f>IF(F20="","",ROUND(F20*(1+Settings!$B$4),2))</f>
        <v/>
      </c>
      <c r="H20">
        <f>IF(A20="","",SUMIFS(Payments!$C:$C,Payments!$B:$B,A20))</f>
        <v/>
      </c>
      <c r="I20">
        <f>IF(A20="","",G20-H20)</f>
        <v/>
      </c>
      <c r="J20">
        <f>IF(A20="","",IF(I20&lt;=0,"Paid",IF(TODAY()&gt;E20,"Overdue",IF(H20&gt;0,"Partial","Open"))))</f>
        <v/>
      </c>
    </row>
    <row r="21">
      <c r="C21">
        <f>IF(B21="","",IFERROR(INDEX(Clients!$B$2:$B$51,MATCH(B21,Clients!$A$2:$A$51,0)),"?"))</f>
        <v/>
      </c>
      <c r="D21" s="5" t="n"/>
      <c r="E21" s="5">
        <f>IF(D21="","",D21+Settings!$B$5)</f>
        <v/>
      </c>
      <c r="G21">
        <f>IF(F21="","",ROUND(F21*(1+Settings!$B$4),2))</f>
        <v/>
      </c>
      <c r="H21">
        <f>IF(A21="","",SUMIFS(Payments!$C:$C,Payments!$B:$B,A21))</f>
        <v/>
      </c>
      <c r="I21">
        <f>IF(A21="","",G21-H21)</f>
        <v/>
      </c>
      <c r="J21">
        <f>IF(A21="","",IF(I21&lt;=0,"Paid",IF(TODAY()&gt;E21,"Overdue",IF(H21&gt;0,"Partial","Open"))))</f>
        <v/>
      </c>
    </row>
    <row r="22">
      <c r="C22">
        <f>IF(B22="","",IFERROR(INDEX(Clients!$B$2:$B$51,MATCH(B22,Clients!$A$2:$A$51,0)),"?"))</f>
        <v/>
      </c>
      <c r="D22" s="5" t="n"/>
      <c r="E22" s="5">
        <f>IF(D22="","",D22+Settings!$B$5)</f>
        <v/>
      </c>
      <c r="G22">
        <f>IF(F22="","",ROUND(F22*(1+Settings!$B$4),2))</f>
        <v/>
      </c>
      <c r="H22">
        <f>IF(A22="","",SUMIFS(Payments!$C:$C,Payments!$B:$B,A22))</f>
        <v/>
      </c>
      <c r="I22">
        <f>IF(A22="","",G22-H22)</f>
        <v/>
      </c>
      <c r="J22">
        <f>IF(A22="","",IF(I22&lt;=0,"Paid",IF(TODAY()&gt;E22,"Overdue",IF(H22&gt;0,"Partial","Open"))))</f>
        <v/>
      </c>
    </row>
    <row r="23">
      <c r="C23">
        <f>IF(B23="","",IFERROR(INDEX(Clients!$B$2:$B$51,MATCH(B23,Clients!$A$2:$A$51,0)),"?"))</f>
        <v/>
      </c>
      <c r="D23" s="5" t="n"/>
      <c r="E23" s="5">
        <f>IF(D23="","",D23+Settings!$B$5)</f>
        <v/>
      </c>
      <c r="G23">
        <f>IF(F23="","",ROUND(F23*(1+Settings!$B$4),2))</f>
        <v/>
      </c>
      <c r="H23">
        <f>IF(A23="","",SUMIFS(Payments!$C:$C,Payments!$B:$B,A23))</f>
        <v/>
      </c>
      <c r="I23">
        <f>IF(A23="","",G23-H23)</f>
        <v/>
      </c>
      <c r="J23">
        <f>IF(A23="","",IF(I23&lt;=0,"Paid",IF(TODAY()&gt;E23,"Overdue",IF(H23&gt;0,"Partial","Open"))))</f>
        <v/>
      </c>
    </row>
    <row r="24">
      <c r="C24">
        <f>IF(B24="","",IFERROR(INDEX(Clients!$B$2:$B$51,MATCH(B24,Clients!$A$2:$A$51,0)),"?"))</f>
        <v/>
      </c>
      <c r="D24" s="5" t="n"/>
      <c r="E24" s="5">
        <f>IF(D24="","",D24+Settings!$B$5)</f>
        <v/>
      </c>
      <c r="G24">
        <f>IF(F24="","",ROUND(F24*(1+Settings!$B$4),2))</f>
        <v/>
      </c>
      <c r="H24">
        <f>IF(A24="","",SUMIFS(Payments!$C:$C,Payments!$B:$B,A24))</f>
        <v/>
      </c>
      <c r="I24">
        <f>IF(A24="","",G24-H24)</f>
        <v/>
      </c>
      <c r="J24">
        <f>IF(A24="","",IF(I24&lt;=0,"Paid",IF(TODAY()&gt;E24,"Overdue",IF(H24&gt;0,"Partial","Open"))))</f>
        <v/>
      </c>
    </row>
    <row r="25">
      <c r="C25">
        <f>IF(B25="","",IFERROR(INDEX(Clients!$B$2:$B$51,MATCH(B25,Clients!$A$2:$A$51,0)),"?"))</f>
        <v/>
      </c>
      <c r="D25" s="5" t="n"/>
      <c r="E25" s="5">
        <f>IF(D25="","",D25+Settings!$B$5)</f>
        <v/>
      </c>
      <c r="G25">
        <f>IF(F25="","",ROUND(F25*(1+Settings!$B$4),2))</f>
        <v/>
      </c>
      <c r="H25">
        <f>IF(A25="","",SUMIFS(Payments!$C:$C,Payments!$B:$B,A25))</f>
        <v/>
      </c>
      <c r="I25">
        <f>IF(A25="","",G25-H25)</f>
        <v/>
      </c>
      <c r="J25">
        <f>IF(A25="","",IF(I25&lt;=0,"Paid",IF(TODAY()&gt;E25,"Overdue",IF(H25&gt;0,"Partial","Open"))))</f>
        <v/>
      </c>
    </row>
    <row r="26">
      <c r="C26">
        <f>IF(B26="","",IFERROR(INDEX(Clients!$B$2:$B$51,MATCH(B26,Clients!$A$2:$A$51,0)),"?"))</f>
        <v/>
      </c>
      <c r="D26" s="5" t="n"/>
      <c r="E26" s="5">
        <f>IF(D26="","",D26+Settings!$B$5)</f>
        <v/>
      </c>
      <c r="G26">
        <f>IF(F26="","",ROUND(F26*(1+Settings!$B$4),2))</f>
        <v/>
      </c>
      <c r="H26">
        <f>IF(A26="","",SUMIFS(Payments!$C:$C,Payments!$B:$B,A26))</f>
        <v/>
      </c>
      <c r="I26">
        <f>IF(A26="","",G26-H26)</f>
        <v/>
      </c>
      <c r="J26">
        <f>IF(A26="","",IF(I26&lt;=0,"Paid",IF(TODAY()&gt;E26,"Overdue",IF(H26&gt;0,"Partial","Open"))))</f>
        <v/>
      </c>
    </row>
  </sheetData>
  <conditionalFormatting sqref="J2:J26">
    <cfRule type="cellIs" priority="1" operator="equal" dxfId="0">
      <formula>"Paid"</formula>
    </cfRule>
    <cfRule type="cellIs" priority="2" operator="equal" dxfId="1">
      <formula>"Overdue"</formula>
    </cfRule>
    <cfRule type="cellIs" priority="3" operator="equal" dxfId="2">
      <formula>"Partial"</formula>
    </cfRule>
  </conditionalFormatting>
  <dataValidations count="1">
    <dataValidation sqref="B2 B3 B4 B5 B6 B7 B8 B9 B10 B11 B12 B13 B14 B15 B16 B17 B18 B19 B20 B21 B22 B23 B24 B25 B26" showDropDown="0" showInputMessage="0" showErrorMessage="0" allowBlank="0" type="list">
      <formula1>=Clients!$A$2:$A$51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Date</t>
        </is>
      </c>
      <c r="B1" s="4" t="inlineStr">
        <is>
          <t>Invoice #</t>
        </is>
      </c>
      <c r="C1" s="4" t="inlineStr">
        <is>
          <t>Amount</t>
        </is>
      </c>
      <c r="D1" s="4" t="inlineStr">
        <is>
          <t>Method</t>
        </is>
      </c>
      <c r="E1" s="4" t="inlineStr">
        <is>
          <t>Note</t>
        </is>
      </c>
    </row>
    <row r="2">
      <c r="A2" s="5" t="n">
        <v>46228</v>
      </c>
      <c r="B2" t="inlineStr">
        <is>
          <t>INV-1001</t>
        </is>
      </c>
      <c r="C2" t="n">
        <v>1296</v>
      </c>
      <c r="D2" t="inlineStr">
        <is>
          <t>Bank</t>
        </is>
      </c>
    </row>
    <row r="3">
      <c r="A3" s="5" t="n">
        <v>46264</v>
      </c>
      <c r="B3" t="inlineStr">
        <is>
          <t>INV-1002</t>
        </is>
      </c>
      <c r="C3" t="n">
        <v>200</v>
      </c>
      <c r="D3" t="inlineStr">
        <is>
          <t>Card</t>
        </is>
      </c>
    </row>
    <row r="4">
      <c r="A4" s="5" t="n">
        <v>46267</v>
      </c>
      <c r="B4" t="inlineStr">
        <is>
          <t>INV-1003</t>
        </is>
      </c>
      <c r="C4" t="n">
        <v>2484</v>
      </c>
      <c r="D4" t="inlineStr">
        <is>
          <t>Bank</t>
        </is>
      </c>
    </row>
    <row r="5">
      <c r="A5" s="5" t="n">
        <v>46300</v>
      </c>
      <c r="B5" t="inlineStr">
        <is>
          <t>INV-1005</t>
        </is>
      </c>
      <c r="C5" t="n">
        <v>702</v>
      </c>
      <c r="D5" t="inlineStr">
        <is>
          <t>PayPal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4" max="4"/>
    <col width="14" customWidth="1" min="5" max="5"/>
  </cols>
  <sheetData>
    <row r="1">
      <c r="A1" s="6">
        <f>Settings!B1</f>
        <v/>
      </c>
      <c r="E1" s="6" t="inlineStr">
        <is>
          <t>INVOICE</t>
        </is>
      </c>
    </row>
    <row r="2">
      <c r="A2">
        <f>Settings!B2</f>
        <v/>
      </c>
    </row>
    <row r="3">
      <c r="A3">
        <f>Settings!B3</f>
        <v/>
      </c>
      <c r="D3" t="inlineStr">
        <is>
          <t>Invoice #</t>
        </is>
      </c>
      <c r="E3" s="2" t="inlineStr">
        <is>
          <t>INV-1003</t>
        </is>
      </c>
    </row>
    <row r="4">
      <c r="D4" t="inlineStr">
        <is>
          <t>Issue date</t>
        </is>
      </c>
      <c r="E4" s="5">
        <f>IFERROR(INDEX(Invoices!$D$2:$D$26,MATCH($E$3,Invoices!$A$2:$A$26,0)),"")</f>
        <v/>
      </c>
    </row>
    <row r="5">
      <c r="D5" t="inlineStr">
        <is>
          <t>Due date</t>
        </is>
      </c>
      <c r="E5" s="5">
        <f>IFERROR(INDEX(Invoices!$E$2:$E$26,MATCH($E$3,Invoices!$A$2:$A$26,0)),"")</f>
        <v/>
      </c>
    </row>
    <row r="6">
      <c r="A6" t="inlineStr">
        <is>
          <t>Bill to:</t>
        </is>
      </c>
    </row>
    <row r="7">
      <c r="A7">
        <f>IFERROR(INDEX(Invoices!$C$2:$C$26,MATCH($E$3,Invoices!$A$2:$A$26,0)),"")</f>
        <v/>
      </c>
    </row>
    <row r="9">
      <c r="A9" s="7" t="inlineStr">
        <is>
          <t>Description</t>
        </is>
      </c>
      <c r="E9" s="7" t="inlineStr">
        <is>
          <t>Amount</t>
        </is>
      </c>
    </row>
    <row r="10">
      <c r="A10">
        <f>IFERROR(INDEX(Invoices!$K$2:$K$26,MATCH($E$3,Invoices!$A$2:$A$26,0)),"")</f>
        <v/>
      </c>
      <c r="E10">
        <f>IFERROR(INDEX(Invoices!$F$2:$F$26,MATCH($E$3,Invoices!$A$2:$A$26,0)),"")</f>
        <v/>
      </c>
    </row>
    <row r="12">
      <c r="D12" t="inlineStr">
        <is>
          <t>Subtotal</t>
        </is>
      </c>
      <c r="E12">
        <f>E10</f>
        <v/>
      </c>
    </row>
    <row r="13">
      <c r="D13" t="inlineStr">
        <is>
          <t>Tax</t>
        </is>
      </c>
      <c r="E13">
        <f>IFERROR(E14-E12,0)</f>
        <v/>
      </c>
    </row>
    <row r="14">
      <c r="D14" t="inlineStr">
        <is>
          <t>Total</t>
        </is>
      </c>
      <c r="E14">
        <f>IFERROR(INDEX(Invoices!$G$2:$G$26,MATCH($E$3,Invoices!$A$2:$A$26,0)),"")</f>
        <v/>
      </c>
    </row>
    <row r="15">
      <c r="D15" t="inlineStr">
        <is>
          <t>Paid</t>
        </is>
      </c>
      <c r="E15">
        <f>IFERROR(INDEX(Invoices!$H$2:$H$26,MATCH($E$3,Invoices!$A$2:$A$26,0)),"")</f>
        <v/>
      </c>
    </row>
    <row r="16">
      <c r="D16" s="8" t="inlineStr">
        <is>
          <t>Balance due</t>
        </is>
      </c>
      <c r="E16">
        <f>IFERROR(INDEX(Invoices!$I$2:$I$26,MATCH($E$3,Invoices!$A$2:$A$26,0)),"")</f>
        <v/>
      </c>
    </row>
    <row r="18">
      <c r="A18">
        <f>"Payment due within "&amp;Settings!B5&amp;" days. Thank you!"</f>
        <v/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2026-10-16T00:56:14Z</dcterms:created>
  <dcterms:modified xmlns:dcterms="http://purl.org/dc/terms/" xmlns:xsi="http://www.w3.org/2001/XMLSchema-instance" xsi:type="dcterms:W3CDTF">2026-10-16T00:56:14Z</dcterms:modified>
</cp:coreProperties>
</file>